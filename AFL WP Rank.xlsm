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tctellwyatt/Documents/Documents/"/>
    </mc:Choice>
  </mc:AlternateContent>
  <xr:revisionPtr revIDLastSave="0" documentId="8_{A7846914-CFE6-C541-90D2-5322303859D3}" xr6:coauthVersionLast="47" xr6:coauthVersionMax="47" xr10:uidLastSave="{00000000-0000-0000-0000-000000000000}"/>
  <bookViews>
    <workbookView xWindow="4520" yWindow="980" windowWidth="20640" windowHeight="15100" xr2:uid="{FE587574-6530-0E47-85A8-C7A9BA085094}"/>
  </bookViews>
  <sheets>
    <sheet name="Master Schedule" sheetId="1" r:id="rId1"/>
    <sheet name="Team Averages" sheetId="2" r:id="rId2"/>
    <sheet name="League Averages " sheetId="3" r:id="rId3"/>
    <sheet name="Simulation" sheetId="4" r:id="rId4"/>
    <sheet name="Sheet5" sheetId="5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D3" i="4" s="1"/>
  <c r="C2" i="4"/>
  <c r="D2" i="4" s="1"/>
  <c r="D3" i="5"/>
  <c r="D2" i="5"/>
  <c r="F3" i="3"/>
  <c r="F2" i="3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" i="2"/>
  <c r="L15" i="2"/>
  <c r="L7" i="2"/>
  <c r="L4" i="2"/>
  <c r="L11" i="2"/>
  <c r="L19" i="2"/>
  <c r="L12" i="2"/>
  <c r="L18" i="2"/>
  <c r="L16" i="2"/>
  <c r="L3" i="2"/>
  <c r="L9" i="2"/>
  <c r="L13" i="2"/>
  <c r="L14" i="2"/>
  <c r="L2" i="2"/>
  <c r="L8" i="2"/>
  <c r="L5" i="2"/>
  <c r="L10" i="2"/>
  <c r="L6" i="2"/>
  <c r="L17" i="2"/>
  <c r="K15" i="2"/>
  <c r="K7" i="2"/>
  <c r="K4" i="2"/>
  <c r="K11" i="2"/>
  <c r="K19" i="2"/>
  <c r="K12" i="2"/>
  <c r="K18" i="2"/>
  <c r="K16" i="2"/>
  <c r="K3" i="2"/>
  <c r="K9" i="2"/>
  <c r="K13" i="2"/>
  <c r="K14" i="2"/>
  <c r="K2" i="2"/>
  <c r="K8" i="2"/>
  <c r="K5" i="2"/>
  <c r="K10" i="2"/>
  <c r="K6" i="2"/>
  <c r="K17" i="2"/>
  <c r="J11" i="2"/>
  <c r="J17" i="2"/>
  <c r="J14" i="2"/>
  <c r="J2" i="2"/>
  <c r="J18" i="2"/>
  <c r="J13" i="2"/>
  <c r="J15" i="2"/>
  <c r="J8" i="2"/>
  <c r="J16" i="2"/>
  <c r="J5" i="2"/>
  <c r="J10" i="2"/>
  <c r="J3" i="2"/>
  <c r="J7" i="2"/>
  <c r="J9" i="2"/>
  <c r="J6" i="2"/>
  <c r="J19" i="2"/>
  <c r="J12" i="2"/>
  <c r="J4" i="2"/>
  <c r="E2" i="4" l="1"/>
  <c r="F2" i="4" s="1"/>
  <c r="E3" i="4"/>
  <c r="F3" i="4" s="1"/>
  <c r="G3" i="4" s="1"/>
  <c r="G2" i="4" l="1"/>
  <c r="I2" i="4" s="1"/>
  <c r="I3" i="4"/>
</calcChain>
</file>

<file path=xl/sharedStrings.xml><?xml version="1.0" encoding="utf-8"?>
<sst xmlns="http://schemas.openxmlformats.org/spreadsheetml/2006/main" count="197" uniqueCount="46">
  <si>
    <t>Team</t>
  </si>
  <si>
    <t>Wins</t>
  </si>
  <si>
    <t>Losses</t>
  </si>
  <si>
    <t>Games</t>
  </si>
  <si>
    <t>Win Percentage</t>
  </si>
  <si>
    <t>Loc</t>
  </si>
  <si>
    <t>Away</t>
  </si>
  <si>
    <t>Home</t>
  </si>
  <si>
    <t>AS</t>
  </si>
  <si>
    <t>HS</t>
  </si>
  <si>
    <t>H</t>
  </si>
  <si>
    <t>Melbourne</t>
  </si>
  <si>
    <t>Sydney</t>
  </si>
  <si>
    <t>Carlton</t>
  </si>
  <si>
    <t>Brisbane</t>
  </si>
  <si>
    <t>Richmond</t>
  </si>
  <si>
    <t xml:space="preserve">Gold Coast </t>
  </si>
  <si>
    <t>Collingwood</t>
  </si>
  <si>
    <t>GWS</t>
  </si>
  <si>
    <t>Hawthorn</t>
  </si>
  <si>
    <t xml:space="preserve">Essendon </t>
  </si>
  <si>
    <t>North Melbourne</t>
  </si>
  <si>
    <t>Adelaide</t>
  </si>
  <si>
    <t>St Kilda</t>
  </si>
  <si>
    <t>Geelong</t>
  </si>
  <si>
    <t>Western Bulldogs</t>
  </si>
  <si>
    <t>West Coast</t>
  </si>
  <si>
    <t>Port Adelaide</t>
  </si>
  <si>
    <t>Fremantle</t>
  </si>
  <si>
    <t>Raw Win %</t>
  </si>
  <si>
    <t>Round 1 ADJ</t>
  </si>
  <si>
    <t>Round 1 Win %</t>
  </si>
  <si>
    <t>Round 2 ADJ</t>
  </si>
  <si>
    <t>Rank ADJ1</t>
  </si>
  <si>
    <t xml:space="preserve"> Raw Rank</t>
  </si>
  <si>
    <t>Rank Adj 2</t>
  </si>
  <si>
    <t>SOS Rank(Need end of season)</t>
  </si>
  <si>
    <t>ELO</t>
  </si>
  <si>
    <t>League AVG</t>
  </si>
  <si>
    <t>Expected Win (netural)</t>
  </si>
  <si>
    <t>ADV</t>
  </si>
  <si>
    <t>Adjusted for Site</t>
  </si>
  <si>
    <t>Price</t>
  </si>
  <si>
    <t>Win PCT</t>
  </si>
  <si>
    <t>PLAY</t>
  </si>
  <si>
    <t xml:space="preserve">West Coast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</si>
</sst>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9" fontId="0" fillId="0" borderId="0" xfId="1" applyFont="1"/>
    <xf numFmtId="0" fontId="2" fillId="2" borderId="0" xfId="0" applyFont="1" applyFill="1"/>
    <xf numFmtId="0" fontId="2" fillId="2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9" fontId="0" fillId="5" borderId="1" xfId="1" applyFont="1" applyFill="1" applyBorder="1"/>
    <xf numFmtId="0" fontId="0" fillId="5" borderId="1" xfId="0" applyFill="1" applyBorder="1"/>
    <xf numFmtId="0" fontId="0" fillId="6" borderId="1" xfId="0" applyFill="1" applyBorder="1"/>
    <xf numFmtId="164" fontId="0" fillId="5" borderId="1" xfId="1" applyNumberFormat="1" applyFont="1" applyFill="1" applyBorder="1"/>
    <xf numFmtId="9" fontId="0" fillId="0" borderId="1" xfId="1" applyFont="1" applyBorder="1"/>
    <xf numFmtId="0" fontId="0" fillId="0" borderId="0" xfId="0" applyFill="1" applyBorder="1"/>
    <xf numFmtId="0" fontId="0" fillId="0" borderId="0" xfId="0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0" xfId="0" applyFont="1" applyFill="1" applyBorder="1"/>
    <xf numFmtId="0" fontId="0" fillId="5" borderId="2" xfId="0" applyFill="1" applyBorder="1"/>
    <xf numFmtId="164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2" fontId="0" fillId="0" borderId="0" xfId="0" applyNumberForma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28058</xdr:colOff>
          <xdr:row>0</xdr:row>
          <xdr:rowOff>0</xdr:rowOff>
        </xdr:from>
        <xdr:to>
          <xdr:col>14</xdr:col>
          <xdr:colOff>728036</xdr:colOff>
          <xdr:row>1</xdr:row>
          <xdr:rowOff>181345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EED798E-12BF-C82A-7A4B-F6774F40B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Raw Calculate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85651</xdr:colOff>
          <xdr:row>0</xdr:row>
          <xdr:rowOff>0</xdr:rowOff>
        </xdr:from>
        <xdr:to>
          <xdr:col>16</xdr:col>
          <xdr:colOff>785628</xdr:colOff>
          <xdr:row>1</xdr:row>
          <xdr:rowOff>181344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D24D382-A5AB-55A4-1E49-BBF68BA65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Adjustment Round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165100</xdr:colOff>
          <xdr:row>3</xdr:row>
          <xdr:rowOff>127000</xdr:rowOff>
        </xdr:from>
        <xdr:to>
          <xdr:col>17</xdr:col>
          <xdr:colOff>38100</xdr:colOff>
          <xdr:row>5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52205D6-D244-4DAA-5336-8F4AF6760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Adjustment Round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8DB0-5A15-3D43-98BC-6EBEFE67F00D}">
  <sheetPr codeName="Sheet1"/>
  <dimension ref="A1:J47"/>
  <sheetViews>
    <sheetView tabSelected="1" topLeftCell="A19" workbookViewId="0">
      <selection activeCell="C50" sqref="C50"/>
    </sheetView>
  </sheetViews>
  <sheetFormatPr baseColWidth="10" defaultRowHeight="16" x14ac:dyDescent="0.2"/>
  <cols>
    <col min="1" max="1" width="6.33203125" customWidth="1"/>
    <col min="2" max="2" width="15.33203125" customWidth="1"/>
    <col min="3" max="3" width="18.1640625" customWidth="1"/>
    <col min="4" max="4" width="7.5" customWidth="1"/>
    <col min="5" max="5" width="7.1640625" customWidth="1"/>
    <col min="7" max="8" width="14.6640625" customWidth="1"/>
    <col min="9" max="10" width="15.6640625" customWidth="1"/>
  </cols>
  <sheetData>
    <row r="1" spans="1:10" x14ac:dyDescent="0.2">
      <c r="A1" s="1" t="s">
        <v>5</v>
      </c>
      <c r="B1" s="1" t="s">
        <v>6</v>
      </c>
      <c r="C1" s="1" t="s">
        <v>7</v>
      </c>
      <c r="D1" s="1" t="s">
        <v>8</v>
      </c>
      <c r="E1" s="1" t="s">
        <v>9</v>
      </c>
      <c r="H1" s="1"/>
    </row>
    <row r="2" spans="1:10" x14ac:dyDescent="0.2">
      <c r="A2" t="s">
        <v>10</v>
      </c>
      <c r="B2" s="12" t="s">
        <v>11</v>
      </c>
      <c r="C2" s="12" t="s">
        <v>12</v>
      </c>
      <c r="D2">
        <v>64</v>
      </c>
      <c r="E2">
        <v>86</v>
      </c>
      <c r="G2" s="12"/>
      <c r="H2" s="13"/>
      <c r="I2" s="12"/>
      <c r="J2" s="13"/>
    </row>
    <row r="3" spans="1:10" x14ac:dyDescent="0.2">
      <c r="A3" t="s">
        <v>10</v>
      </c>
      <c r="B3" t="s">
        <v>13</v>
      </c>
      <c r="C3" t="s">
        <v>14</v>
      </c>
      <c r="D3">
        <v>86</v>
      </c>
      <c r="E3">
        <v>85</v>
      </c>
      <c r="G3" s="13"/>
      <c r="H3" s="13"/>
      <c r="I3" s="13"/>
      <c r="J3" s="13"/>
    </row>
    <row r="4" spans="1:10" x14ac:dyDescent="0.2">
      <c r="A4" t="s">
        <v>10</v>
      </c>
      <c r="B4" t="s">
        <v>15</v>
      </c>
      <c r="C4" t="s">
        <v>16</v>
      </c>
      <c r="D4">
        <v>60</v>
      </c>
      <c r="E4">
        <v>99</v>
      </c>
    </row>
    <row r="5" spans="1:10" x14ac:dyDescent="0.2">
      <c r="A5" t="s">
        <v>10</v>
      </c>
      <c r="B5" t="s">
        <v>17</v>
      </c>
      <c r="C5" t="s">
        <v>18</v>
      </c>
      <c r="D5">
        <v>82</v>
      </c>
      <c r="E5">
        <v>114</v>
      </c>
    </row>
    <row r="6" spans="1:10" x14ac:dyDescent="0.2">
      <c r="A6" t="s">
        <v>10</v>
      </c>
      <c r="B6" t="s">
        <v>15</v>
      </c>
      <c r="C6" t="s">
        <v>13</v>
      </c>
      <c r="D6">
        <v>81</v>
      </c>
      <c r="E6">
        <v>86</v>
      </c>
    </row>
    <row r="7" spans="1:10" x14ac:dyDescent="0.2">
      <c r="A7" t="s">
        <v>10</v>
      </c>
      <c r="B7" t="s">
        <v>12</v>
      </c>
      <c r="C7" t="s">
        <v>17</v>
      </c>
      <c r="D7">
        <v>102</v>
      </c>
      <c r="E7">
        <v>69</v>
      </c>
    </row>
    <row r="8" spans="1:10" x14ac:dyDescent="0.2">
      <c r="A8" t="s">
        <v>10</v>
      </c>
      <c r="B8" t="s">
        <v>19</v>
      </c>
      <c r="C8" t="s">
        <v>20</v>
      </c>
      <c r="D8">
        <v>83</v>
      </c>
      <c r="E8">
        <v>107</v>
      </c>
    </row>
    <row r="9" spans="1:10" x14ac:dyDescent="0.2">
      <c r="A9" t="s">
        <v>10</v>
      </c>
      <c r="B9" t="s">
        <v>21</v>
      </c>
      <c r="C9" t="s">
        <v>18</v>
      </c>
      <c r="D9">
        <v>82</v>
      </c>
      <c r="E9">
        <v>121</v>
      </c>
    </row>
    <row r="10" spans="1:10" x14ac:dyDescent="0.2">
      <c r="A10" t="s">
        <v>10</v>
      </c>
      <c r="B10" t="s">
        <v>22</v>
      </c>
      <c r="C10" t="s">
        <v>16</v>
      </c>
      <c r="D10">
        <v>54</v>
      </c>
      <c r="E10">
        <v>60</v>
      </c>
    </row>
    <row r="11" spans="1:10" x14ac:dyDescent="0.2">
      <c r="A11" t="s">
        <v>10</v>
      </c>
      <c r="B11" t="s">
        <v>23</v>
      </c>
      <c r="C11" t="s">
        <v>24</v>
      </c>
      <c r="D11">
        <v>68</v>
      </c>
      <c r="E11">
        <v>76</v>
      </c>
    </row>
    <row r="12" spans="1:10" x14ac:dyDescent="0.2">
      <c r="A12" t="s">
        <v>10</v>
      </c>
      <c r="B12" t="s">
        <v>25</v>
      </c>
      <c r="C12" t="s">
        <v>11</v>
      </c>
      <c r="D12">
        <v>64</v>
      </c>
      <c r="E12">
        <v>109</v>
      </c>
    </row>
    <row r="13" spans="1:10" x14ac:dyDescent="0.2">
      <c r="A13" t="s">
        <v>10</v>
      </c>
      <c r="B13" t="s">
        <v>26</v>
      </c>
      <c r="C13" t="s">
        <v>27</v>
      </c>
      <c r="D13">
        <v>70</v>
      </c>
      <c r="E13">
        <v>120</v>
      </c>
    </row>
    <row r="14" spans="1:10" x14ac:dyDescent="0.2">
      <c r="A14" t="s">
        <v>10</v>
      </c>
      <c r="B14" t="s">
        <v>14</v>
      </c>
      <c r="C14" t="s">
        <v>28</v>
      </c>
      <c r="D14">
        <v>70</v>
      </c>
      <c r="E14">
        <v>93</v>
      </c>
    </row>
    <row r="15" spans="1:10" x14ac:dyDescent="0.2">
      <c r="A15" t="s">
        <v>10</v>
      </c>
      <c r="B15" t="s">
        <v>17</v>
      </c>
      <c r="C15" t="s">
        <v>23</v>
      </c>
      <c r="D15">
        <v>79</v>
      </c>
      <c r="E15">
        <v>94</v>
      </c>
    </row>
    <row r="16" spans="1:10" x14ac:dyDescent="0.2">
      <c r="A16" t="s">
        <v>10</v>
      </c>
      <c r="B16" t="s">
        <v>24</v>
      </c>
      <c r="C16" t="s">
        <v>22</v>
      </c>
      <c r="D16">
        <v>96</v>
      </c>
      <c r="E16">
        <v>77</v>
      </c>
    </row>
    <row r="17" spans="1:5" x14ac:dyDescent="0.2">
      <c r="A17" t="s">
        <v>10</v>
      </c>
      <c r="B17" t="s">
        <v>28</v>
      </c>
      <c r="C17" t="s">
        <v>21</v>
      </c>
      <c r="D17">
        <v>102</v>
      </c>
      <c r="E17">
        <v>76</v>
      </c>
    </row>
    <row r="18" spans="1:5" x14ac:dyDescent="0.2">
      <c r="A18" t="s">
        <v>10</v>
      </c>
      <c r="B18" t="s">
        <v>11</v>
      </c>
      <c r="C18" t="s">
        <v>19</v>
      </c>
      <c r="D18">
        <v>93</v>
      </c>
      <c r="E18">
        <v>38</v>
      </c>
    </row>
    <row r="19" spans="1:5" x14ac:dyDescent="0.2">
      <c r="A19" t="s">
        <v>10</v>
      </c>
      <c r="B19" t="s">
        <v>20</v>
      </c>
      <c r="C19" t="s">
        <v>12</v>
      </c>
      <c r="D19">
        <v>101</v>
      </c>
      <c r="E19">
        <v>131</v>
      </c>
    </row>
    <row r="20" spans="1:5" x14ac:dyDescent="0.2">
      <c r="A20" t="s">
        <v>10</v>
      </c>
      <c r="B20" t="s">
        <v>16</v>
      </c>
      <c r="C20" t="s">
        <v>25</v>
      </c>
      <c r="D20">
        <v>67</v>
      </c>
      <c r="E20">
        <v>115</v>
      </c>
    </row>
    <row r="21" spans="1:5" x14ac:dyDescent="0.2">
      <c r="A21" t="s">
        <v>10</v>
      </c>
      <c r="B21" t="s">
        <v>18</v>
      </c>
      <c r="C21" t="s">
        <v>26</v>
      </c>
      <c r="D21">
        <v>108</v>
      </c>
      <c r="E21">
        <v>43</v>
      </c>
    </row>
    <row r="22" spans="1:5" x14ac:dyDescent="0.2">
      <c r="A22" t="s">
        <v>10</v>
      </c>
      <c r="B22" t="s">
        <v>27</v>
      </c>
      <c r="C22" t="s">
        <v>15</v>
      </c>
      <c r="D22">
        <v>122</v>
      </c>
      <c r="E22">
        <v>92</v>
      </c>
    </row>
    <row r="23" spans="1:5" x14ac:dyDescent="0.2">
      <c r="A23" t="s">
        <v>10</v>
      </c>
      <c r="B23" t="s">
        <v>17</v>
      </c>
      <c r="C23" t="s">
        <v>14</v>
      </c>
      <c r="D23">
        <v>92</v>
      </c>
      <c r="E23">
        <v>72</v>
      </c>
    </row>
    <row r="24" spans="1:5" x14ac:dyDescent="0.2">
      <c r="A24" t="s">
        <v>10</v>
      </c>
      <c r="B24" t="s">
        <v>13</v>
      </c>
      <c r="C24" t="s">
        <v>21</v>
      </c>
      <c r="D24">
        <v>137</v>
      </c>
      <c r="E24">
        <v>81</v>
      </c>
    </row>
    <row r="25" spans="1:5" x14ac:dyDescent="0.2">
      <c r="A25" t="s">
        <v>10</v>
      </c>
      <c r="B25" t="s">
        <v>22</v>
      </c>
      <c r="C25" t="s">
        <v>28</v>
      </c>
      <c r="D25">
        <v>34</v>
      </c>
      <c r="E25">
        <v>69</v>
      </c>
    </row>
    <row r="26" spans="1:5" x14ac:dyDescent="0.2">
      <c r="A26" t="s">
        <v>10</v>
      </c>
      <c r="B26" t="s">
        <v>23</v>
      </c>
      <c r="C26" t="s">
        <v>20</v>
      </c>
      <c r="D26">
        <v>67</v>
      </c>
      <c r="E26">
        <v>71</v>
      </c>
    </row>
    <row r="27" spans="1:5" x14ac:dyDescent="0.2">
      <c r="A27" t="s">
        <v>10</v>
      </c>
      <c r="B27" t="s">
        <v>11</v>
      </c>
      <c r="C27" t="s">
        <v>27</v>
      </c>
      <c r="D27">
        <v>96</v>
      </c>
      <c r="E27">
        <v>89</v>
      </c>
    </row>
    <row r="28" spans="1:5" x14ac:dyDescent="0.2">
      <c r="A28" t="s">
        <v>10</v>
      </c>
      <c r="B28" t="s">
        <v>26</v>
      </c>
      <c r="C28" t="s">
        <v>25</v>
      </c>
      <c r="D28">
        <v>30</v>
      </c>
      <c r="E28">
        <v>106</v>
      </c>
    </row>
    <row r="29" spans="1:5" x14ac:dyDescent="0.2">
      <c r="A29" t="s">
        <v>10</v>
      </c>
      <c r="B29" t="s">
        <v>12</v>
      </c>
      <c r="C29" t="s">
        <v>15</v>
      </c>
      <c r="D29">
        <v>77</v>
      </c>
      <c r="E29">
        <v>82</v>
      </c>
    </row>
    <row r="30" spans="1:5" x14ac:dyDescent="0.2">
      <c r="A30" t="s">
        <v>10</v>
      </c>
      <c r="B30" t="s">
        <v>24</v>
      </c>
      <c r="C30" t="s">
        <v>19</v>
      </c>
      <c r="D30">
        <v>106</v>
      </c>
      <c r="E30">
        <v>70</v>
      </c>
    </row>
    <row r="31" spans="1:5" x14ac:dyDescent="0.2">
      <c r="A31" t="s">
        <v>10</v>
      </c>
      <c r="B31" t="s">
        <v>11</v>
      </c>
      <c r="C31" t="s">
        <v>22</v>
      </c>
      <c r="D31">
        <v>78</v>
      </c>
      <c r="E31">
        <v>63</v>
      </c>
    </row>
    <row r="32" spans="1:5" x14ac:dyDescent="0.2">
      <c r="A32" t="s">
        <v>10</v>
      </c>
      <c r="B32" t="s">
        <v>21</v>
      </c>
      <c r="C32" t="s">
        <v>14</v>
      </c>
      <c r="D32">
        <v>42</v>
      </c>
      <c r="E32">
        <v>112</v>
      </c>
    </row>
    <row r="33" spans="1:5" x14ac:dyDescent="0.2">
      <c r="A33" t="s">
        <v>10</v>
      </c>
      <c r="B33" t="s">
        <v>20</v>
      </c>
      <c r="C33" t="s">
        <v>27</v>
      </c>
      <c r="D33">
        <v>42</v>
      </c>
      <c r="E33">
        <v>111</v>
      </c>
    </row>
    <row r="34" spans="1:5" x14ac:dyDescent="0.2">
      <c r="A34" t="s">
        <v>10</v>
      </c>
      <c r="B34" t="s">
        <v>12</v>
      </c>
      <c r="C34" t="s">
        <v>26</v>
      </c>
      <c r="D34">
        <v>104</v>
      </c>
      <c r="E34">
        <v>78</v>
      </c>
    </row>
    <row r="35" spans="1:5" x14ac:dyDescent="0.2">
      <c r="A35" t="s">
        <v>10</v>
      </c>
      <c r="B35" t="s">
        <v>13</v>
      </c>
      <c r="C35" t="s">
        <v>28</v>
      </c>
      <c r="D35">
        <v>73</v>
      </c>
      <c r="E35">
        <v>63</v>
      </c>
    </row>
    <row r="36" spans="1:5" x14ac:dyDescent="0.2">
      <c r="A36" t="s">
        <v>10</v>
      </c>
      <c r="B36" t="s">
        <v>24</v>
      </c>
      <c r="C36" t="s">
        <v>25</v>
      </c>
      <c r="D36">
        <v>95</v>
      </c>
      <c r="E36">
        <v>91</v>
      </c>
    </row>
    <row r="37" spans="1:5" x14ac:dyDescent="0.2">
      <c r="A37" t="s">
        <v>10</v>
      </c>
      <c r="B37" t="s">
        <v>18</v>
      </c>
      <c r="C37" t="s">
        <v>16</v>
      </c>
      <c r="D37">
        <v>117</v>
      </c>
      <c r="E37">
        <v>89</v>
      </c>
    </row>
    <row r="38" spans="1:5" x14ac:dyDescent="0.2">
      <c r="A38" t="s">
        <v>10</v>
      </c>
      <c r="B38" t="s">
        <v>23</v>
      </c>
      <c r="C38" t="s">
        <v>15</v>
      </c>
      <c r="D38">
        <v>67</v>
      </c>
      <c r="E38">
        <v>60</v>
      </c>
    </row>
    <row r="39" spans="1:5" x14ac:dyDescent="0.2">
      <c r="A39" t="s">
        <v>10</v>
      </c>
      <c r="B39" t="s">
        <v>19</v>
      </c>
      <c r="C39" t="s">
        <v>17</v>
      </c>
      <c r="D39">
        <v>72</v>
      </c>
      <c r="E39">
        <v>77</v>
      </c>
    </row>
    <row r="40" spans="1:5" x14ac:dyDescent="0.2">
      <c r="A40" t="s">
        <v>10</v>
      </c>
      <c r="B40" t="s">
        <v>14</v>
      </c>
      <c r="C40" t="s">
        <v>11</v>
      </c>
      <c r="D40">
        <v>82</v>
      </c>
      <c r="E40">
        <v>60</v>
      </c>
    </row>
    <row r="41" spans="1:5" x14ac:dyDescent="0.2">
      <c r="A41" t="s">
        <v>10</v>
      </c>
      <c r="B41" t="s">
        <v>20</v>
      </c>
      <c r="C41" t="s">
        <v>25</v>
      </c>
      <c r="D41">
        <v>96</v>
      </c>
      <c r="E41">
        <v>67</v>
      </c>
    </row>
    <row r="42" spans="1:5" x14ac:dyDescent="0.2">
      <c r="A42" t="s">
        <v>10</v>
      </c>
      <c r="B42" t="s">
        <v>22</v>
      </c>
      <c r="C42" t="s">
        <v>13</v>
      </c>
      <c r="D42">
        <v>100</v>
      </c>
      <c r="E42">
        <v>98</v>
      </c>
    </row>
    <row r="43" spans="1:5" x14ac:dyDescent="0.2">
      <c r="A43" t="s">
        <v>10</v>
      </c>
      <c r="B43" t="s">
        <v>28</v>
      </c>
      <c r="C43" t="s">
        <v>27</v>
      </c>
      <c r="D43">
        <v>63</v>
      </c>
      <c r="E43">
        <v>66</v>
      </c>
    </row>
    <row r="44" spans="1:5" x14ac:dyDescent="0.2">
      <c r="A44" t="s">
        <v>10</v>
      </c>
      <c r="B44" t="s">
        <v>19</v>
      </c>
      <c r="C44" t="s">
        <v>16</v>
      </c>
      <c r="D44">
        <v>56</v>
      </c>
      <c r="E44">
        <v>109</v>
      </c>
    </row>
    <row r="45" spans="1:5" x14ac:dyDescent="0.2">
      <c r="A45" t="s">
        <v>10</v>
      </c>
      <c r="B45" t="s">
        <v>21</v>
      </c>
      <c r="C45" t="s">
        <v>24</v>
      </c>
      <c r="D45">
        <v>64</v>
      </c>
      <c r="E45">
        <v>139</v>
      </c>
    </row>
    <row r="46" spans="1:5" x14ac:dyDescent="0.2">
      <c r="A46" t="s">
        <v>10</v>
      </c>
      <c r="B46" t="s">
        <v>15</v>
      </c>
      <c r="C46" t="s">
        <v>26</v>
      </c>
      <c r="D46">
        <v>70</v>
      </c>
      <c r="E46">
        <v>109</v>
      </c>
    </row>
    <row r="47" spans="1:5" x14ac:dyDescent="0.2">
      <c r="A47" t="s">
        <v>10</v>
      </c>
      <c r="B47" t="s">
        <v>18</v>
      </c>
      <c r="C47" t="s">
        <v>23</v>
      </c>
      <c r="D47">
        <v>80</v>
      </c>
      <c r="E47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w_calculate">
                <anchor moveWithCells="1" sizeWithCells="1">
                  <from>
                    <xdr:col>13</xdr:col>
                    <xdr:colOff>25400</xdr:colOff>
                    <xdr:row>0</xdr:row>
                    <xdr:rowOff>0</xdr:rowOff>
                  </from>
                  <to>
                    <xdr:col>14</xdr:col>
                    <xdr:colOff>723900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justment_Round1">
                <anchor moveWithCells="1" sizeWithCells="1">
                  <from>
                    <xdr:col>15</xdr:col>
                    <xdr:colOff>88900</xdr:colOff>
                    <xdr:row>0</xdr:row>
                    <xdr:rowOff>0</xdr:rowOff>
                  </from>
                  <to>
                    <xdr:col>16</xdr:col>
                    <xdr:colOff>787400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justment_Round2">
                <anchor moveWithCells="1" sizeWithCells="1">
                  <from>
                    <xdr:col>15</xdr:col>
                    <xdr:colOff>165100</xdr:colOff>
                    <xdr:row>3</xdr:row>
                    <xdr:rowOff>127000</xdr:rowOff>
                  </from>
                  <to>
                    <xdr:col>17</xdr:col>
                    <xdr:colOff>38100</xdr:colOff>
                    <xdr:row>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9E98D-FB3F-2A4B-B576-EE964C7A7CDA}">
  <sheetPr codeName="Sheet2"/>
  <dimension ref="A1:O23"/>
  <sheetViews>
    <sheetView zoomScale="104" workbookViewId="0">
      <selection activeCell="A10" sqref="A10"/>
    </sheetView>
  </sheetViews>
  <sheetFormatPr baseColWidth="10" defaultRowHeight="16" x14ac:dyDescent="0.2"/>
  <cols>
    <col min="1" max="1" width="16.33203125" customWidth="1"/>
    <col min="5" max="5" width="15" customWidth="1"/>
    <col min="6" max="6" width="13.83203125" customWidth="1"/>
    <col min="7" max="7" width="13.6640625" customWidth="1"/>
    <col min="8" max="8" width="12" customWidth="1"/>
    <col min="9" max="9" width="11.6640625" customWidth="1"/>
    <col min="15" max="15" width="20.33203125" customWidth="1"/>
  </cols>
  <sheetData>
    <row r="1" spans="1:1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29</v>
      </c>
      <c r="F1" s="4" t="s">
        <v>30</v>
      </c>
      <c r="G1" s="4" t="s">
        <v>31</v>
      </c>
      <c r="H1" s="14" t="s">
        <v>32</v>
      </c>
      <c r="I1" s="14" t="s">
        <v>32</v>
      </c>
      <c r="J1" s="3" t="s">
        <v>34</v>
      </c>
      <c r="K1" s="15" t="s">
        <v>33</v>
      </c>
      <c r="L1" s="15" t="s">
        <v>35</v>
      </c>
      <c r="O1" s="16" t="s">
        <v>36</v>
      </c>
    </row>
    <row r="2" spans="1:15" x14ac:dyDescent="0.2">
      <c r="A2" s="5" t="s">
        <v>18</v>
      </c>
      <c r="B2" s="6">
        <v>5</v>
      </c>
      <c r="C2" s="6"/>
      <c r="D2" s="6">
        <v>5</v>
      </c>
      <c r="E2" s="7">
        <v>1</v>
      </c>
      <c r="F2" s="11">
        <v>-0.171304347826087</v>
      </c>
      <c r="G2" s="11">
        <v>0.82869565217391306</v>
      </c>
      <c r="H2" s="11">
        <v>-9.3043478260869589E-2</v>
      </c>
      <c r="I2" s="11">
        <v>0.73565217391304349</v>
      </c>
      <c r="J2">
        <f>RANK(E2, $E$2:$E999, 0)</f>
        <v>1</v>
      </c>
      <c r="K2">
        <f>RANK(G2, $G$2:$G1000, 0)</f>
        <v>1</v>
      </c>
      <c r="L2">
        <f>RANK(I2, $I$2:$I1000, 0)</f>
        <v>1</v>
      </c>
      <c r="O2">
        <f>RANK(H2, $H$2:$H1000, 0)</f>
        <v>16</v>
      </c>
    </row>
    <row r="3" spans="1:15" x14ac:dyDescent="0.2">
      <c r="A3" s="5" t="s">
        <v>24</v>
      </c>
      <c r="B3" s="6">
        <v>5</v>
      </c>
      <c r="C3" s="6"/>
      <c r="D3" s="6">
        <v>5</v>
      </c>
      <c r="E3" s="7">
        <v>1</v>
      </c>
      <c r="F3" s="11">
        <v>-0.29130434782608694</v>
      </c>
      <c r="G3" s="11">
        <v>0.70869565217391306</v>
      </c>
      <c r="H3" s="11">
        <v>-0.1108985507246377</v>
      </c>
      <c r="I3" s="11">
        <v>0.59779710144927534</v>
      </c>
      <c r="J3">
        <f>RANK(E3, $E$2:$E1000, 0)</f>
        <v>1</v>
      </c>
      <c r="K3">
        <f>RANK(G3, $G$2:$G1001, 0)</f>
        <v>4</v>
      </c>
      <c r="L3">
        <f>RANK(I3, $I$2:$I1001, 0)</f>
        <v>7</v>
      </c>
      <c r="O3">
        <f>RANK(H3, $H$2:$H1001, 0)</f>
        <v>17</v>
      </c>
    </row>
    <row r="4" spans="1:15" x14ac:dyDescent="0.2">
      <c r="A4" s="5" t="s">
        <v>12</v>
      </c>
      <c r="B4" s="6">
        <v>4</v>
      </c>
      <c r="C4" s="6">
        <v>1</v>
      </c>
      <c r="D4" s="6">
        <v>5</v>
      </c>
      <c r="E4" s="7">
        <v>0.8</v>
      </c>
      <c r="F4" s="11">
        <v>-8.463768115942033E-2</v>
      </c>
      <c r="G4" s="11">
        <v>0.71536231884057977</v>
      </c>
      <c r="H4" s="11">
        <v>-4.6666666666666703E-2</v>
      </c>
      <c r="I4" s="11">
        <v>0.66869565217391302</v>
      </c>
      <c r="J4">
        <f>RANK(E4, $E$2:$E1001, 0)</f>
        <v>3</v>
      </c>
      <c r="K4">
        <f>RANK(G4, $G$2:$G1002, 0)</f>
        <v>3</v>
      </c>
      <c r="L4">
        <f>RANK(I4, $I$2:$I1002, 0)</f>
        <v>2</v>
      </c>
      <c r="O4">
        <f>RANK(H4, $H$2:$H1002, 0)</f>
        <v>13</v>
      </c>
    </row>
    <row r="5" spans="1:15" x14ac:dyDescent="0.2">
      <c r="A5" s="5" t="s">
        <v>27</v>
      </c>
      <c r="B5" s="6">
        <v>4</v>
      </c>
      <c r="C5" s="6">
        <v>1</v>
      </c>
      <c r="D5" s="6">
        <v>5</v>
      </c>
      <c r="E5" s="7">
        <v>0.8</v>
      </c>
      <c r="F5" s="11">
        <v>-7.9420289855072504E-2</v>
      </c>
      <c r="G5" s="11">
        <v>0.7205797101449275</v>
      </c>
      <c r="H5" s="11">
        <v>-6.0927536231884107E-2</v>
      </c>
      <c r="I5" s="11">
        <v>0.65965217391304343</v>
      </c>
      <c r="J5">
        <f>RANK(E5, $E$2:$E1002, 0)</f>
        <v>3</v>
      </c>
      <c r="K5">
        <f>RANK(G5, $G$2:$G1003, 0)</f>
        <v>2</v>
      </c>
      <c r="L5">
        <f>RANK(I5, $I$2:$I1003, 0)</f>
        <v>3</v>
      </c>
      <c r="O5">
        <f>RANK(H5, $H$2:$H1003, 0)</f>
        <v>14</v>
      </c>
    </row>
    <row r="6" spans="1:15" x14ac:dyDescent="0.2">
      <c r="A6" s="5" t="s">
        <v>13</v>
      </c>
      <c r="B6" s="6">
        <v>4</v>
      </c>
      <c r="C6" s="6">
        <v>1</v>
      </c>
      <c r="D6" s="6">
        <v>5</v>
      </c>
      <c r="E6" s="7">
        <v>0.8</v>
      </c>
      <c r="F6" s="11">
        <v>-0.21797101449275363</v>
      </c>
      <c r="G6" s="11">
        <v>0.58202898550724647</v>
      </c>
      <c r="H6" s="11">
        <v>-0.11263768115942034</v>
      </c>
      <c r="I6" s="11">
        <v>0.46939130434782611</v>
      </c>
      <c r="J6">
        <f>RANK(E6, $E$2:$E1003, 0)</f>
        <v>3</v>
      </c>
      <c r="K6">
        <f>RANK(G6, $G$2:$G1004, 0)</f>
        <v>7</v>
      </c>
      <c r="L6">
        <f>RANK(I6, $I$2:$I1004, 0)</f>
        <v>11</v>
      </c>
      <c r="O6">
        <f>RANK(H6, $H$2:$H1004, 0)</f>
        <v>18</v>
      </c>
    </row>
    <row r="7" spans="1:15" x14ac:dyDescent="0.2">
      <c r="A7" s="5" t="s">
        <v>11</v>
      </c>
      <c r="B7" s="6">
        <v>4</v>
      </c>
      <c r="C7" s="6">
        <v>2</v>
      </c>
      <c r="D7" s="6">
        <v>6</v>
      </c>
      <c r="E7" s="7">
        <v>0.66666666666666663</v>
      </c>
      <c r="F7" s="11">
        <v>-5.2173913043478265E-2</v>
      </c>
      <c r="G7" s="11">
        <v>0.61449275362318834</v>
      </c>
      <c r="H7" s="11">
        <v>-1.9323671497587883E-4</v>
      </c>
      <c r="I7" s="11">
        <v>0.6142995169082125</v>
      </c>
      <c r="J7">
        <f>RANK(E7, $E$2:$E1004, 0)</f>
        <v>6</v>
      </c>
      <c r="K7">
        <f>RANK(G7, $G$2:$G1005, 0)</f>
        <v>5</v>
      </c>
      <c r="L7">
        <f>RANK(I7, $I$2:$I1005, 0)</f>
        <v>6</v>
      </c>
      <c r="O7">
        <f>RANK(H7, $H$2:$H1005, 0)</f>
        <v>10</v>
      </c>
    </row>
    <row r="8" spans="1:15" x14ac:dyDescent="0.2">
      <c r="A8" s="5" t="s">
        <v>20</v>
      </c>
      <c r="B8" s="6">
        <v>3</v>
      </c>
      <c r="C8" s="6">
        <v>2</v>
      </c>
      <c r="D8" s="6">
        <v>5</v>
      </c>
      <c r="E8" s="7">
        <v>0.6</v>
      </c>
      <c r="F8" s="11">
        <v>-1.1304347826086946E-2</v>
      </c>
      <c r="G8" s="11">
        <v>0.58869565217391306</v>
      </c>
      <c r="H8" s="11">
        <v>3.414492753623187E-2</v>
      </c>
      <c r="I8" s="11">
        <v>0.62284057971014495</v>
      </c>
      <c r="J8">
        <f>RANK(E8, $E$2:$E1005, 0)</f>
        <v>7</v>
      </c>
      <c r="K8">
        <f>RANK(G8, $G$2:$G1006, 0)</f>
        <v>6</v>
      </c>
      <c r="L8">
        <f>RANK(I8, $I$2:$I1006, 0)</f>
        <v>4</v>
      </c>
      <c r="O8">
        <f>RANK(H8, $H$2:$H1006, 0)</f>
        <v>8</v>
      </c>
    </row>
    <row r="9" spans="1:15" x14ac:dyDescent="0.2">
      <c r="A9" s="5" t="s">
        <v>28</v>
      </c>
      <c r="B9" s="6">
        <v>3</v>
      </c>
      <c r="C9" s="6">
        <v>2</v>
      </c>
      <c r="D9" s="6">
        <v>5</v>
      </c>
      <c r="E9" s="7">
        <v>0.6</v>
      </c>
      <c r="F9" s="11">
        <v>-6.8695652173913047E-2</v>
      </c>
      <c r="G9" s="11">
        <v>0.53130434782608693</v>
      </c>
      <c r="H9" s="11">
        <v>-2.9101449275362356E-2</v>
      </c>
      <c r="I9" s="11">
        <v>0.50220289855072453</v>
      </c>
      <c r="J9">
        <f>RANK(E9, $E$2:$E1006, 0)</f>
        <v>7</v>
      </c>
      <c r="K9">
        <f>RANK(G9, $G$2:$G1007, 0)</f>
        <v>9</v>
      </c>
      <c r="L9">
        <f>RANK(I9, $I$2:$I1007, 0)</f>
        <v>9</v>
      </c>
      <c r="O9">
        <f>RANK(H9, $H$2:$H1007, 0)</f>
        <v>12</v>
      </c>
    </row>
    <row r="10" spans="1:15" x14ac:dyDescent="0.2">
      <c r="A10" s="5" t="s">
        <v>16</v>
      </c>
      <c r="B10" s="6">
        <v>3</v>
      </c>
      <c r="C10" s="6">
        <v>2</v>
      </c>
      <c r="D10" s="6">
        <v>5</v>
      </c>
      <c r="E10" s="7">
        <v>0.6</v>
      </c>
      <c r="F10" s="11">
        <v>-0.17275362318840584</v>
      </c>
      <c r="G10" s="11">
        <v>0.42724637681159416</v>
      </c>
      <c r="H10" s="11">
        <v>-8.8753623188405836E-2</v>
      </c>
      <c r="I10" s="11">
        <v>0.33849275362318831</v>
      </c>
      <c r="J10">
        <f>RANK(E10, $E$2:$E1007, 0)</f>
        <v>7</v>
      </c>
      <c r="K10">
        <f>RANK(G10, $G$2:$G1008, 0)</f>
        <v>13</v>
      </c>
      <c r="L10">
        <f>RANK(I10, $I$2:$I1008, 0)</f>
        <v>16</v>
      </c>
      <c r="O10">
        <f>RANK(H10, $H$2:$H1008, 0)</f>
        <v>15</v>
      </c>
    </row>
    <row r="11" spans="1:15" x14ac:dyDescent="0.2">
      <c r="A11" s="5" t="s">
        <v>23</v>
      </c>
      <c r="B11" s="6">
        <v>2</v>
      </c>
      <c r="C11" s="6">
        <v>3</v>
      </c>
      <c r="D11" s="6">
        <v>5</v>
      </c>
      <c r="E11" s="7">
        <v>0.4</v>
      </c>
      <c r="F11" s="11">
        <v>0.14202898550724635</v>
      </c>
      <c r="G11" s="11">
        <v>0.54202898550724643</v>
      </c>
      <c r="H11" s="11">
        <v>7.2985507246376785E-2</v>
      </c>
      <c r="I11" s="11">
        <v>0.61501449275362319</v>
      </c>
      <c r="J11">
        <f>RANK(E11, $E$2:$E1008, 0)</f>
        <v>10</v>
      </c>
      <c r="K11">
        <f>RANK(G11, $G$2:$G1009, 0)</f>
        <v>8</v>
      </c>
      <c r="L11">
        <f>RANK(I11, $I$2:$I1009, 0)</f>
        <v>5</v>
      </c>
      <c r="O11">
        <f>RANK(H11, $H$2:$H1009, 0)</f>
        <v>4</v>
      </c>
    </row>
    <row r="12" spans="1:15" x14ac:dyDescent="0.2">
      <c r="A12" s="5" t="s">
        <v>25</v>
      </c>
      <c r="B12" s="6">
        <v>2</v>
      </c>
      <c r="C12" s="6">
        <v>3</v>
      </c>
      <c r="D12" s="6">
        <v>5</v>
      </c>
      <c r="E12" s="7">
        <v>0.4</v>
      </c>
      <c r="F12" s="11">
        <v>8.7246376811594167E-2</v>
      </c>
      <c r="G12" s="11">
        <v>0.48724637681159422</v>
      </c>
      <c r="H12" s="11">
        <v>6.6666666666666315E-3</v>
      </c>
      <c r="I12" s="11">
        <v>0.49391304347826087</v>
      </c>
      <c r="J12">
        <f>RANK(E12, $E$2:$E1009, 0)</f>
        <v>10</v>
      </c>
      <c r="K12">
        <f>RANK(G12, $G$2:$G1010, 0)</f>
        <v>10</v>
      </c>
      <c r="L12">
        <f>RANK(I12, $I$2:$I1010, 0)</f>
        <v>10</v>
      </c>
      <c r="O12">
        <f>RANK(H12, $H$2:$H1010, 0)</f>
        <v>9</v>
      </c>
    </row>
    <row r="13" spans="1:15" x14ac:dyDescent="0.2">
      <c r="A13" s="5" t="s">
        <v>17</v>
      </c>
      <c r="B13" s="6">
        <v>2</v>
      </c>
      <c r="C13" s="6">
        <v>3</v>
      </c>
      <c r="D13" s="6">
        <v>5</v>
      </c>
      <c r="E13" s="7">
        <v>0.4</v>
      </c>
      <c r="F13" s="11">
        <v>2.8695652173913046E-2</v>
      </c>
      <c r="G13" s="11">
        <v>0.42869565217391309</v>
      </c>
      <c r="H13" s="11">
        <v>3.5246376811594218E-2</v>
      </c>
      <c r="I13" s="11">
        <v>0.46394202898550729</v>
      </c>
      <c r="J13">
        <f>RANK(E13, $E$2:$E1010, 0)</f>
        <v>10</v>
      </c>
      <c r="K13">
        <f>RANK(G13, $G$2:$G1011, 0)</f>
        <v>12</v>
      </c>
      <c r="L13">
        <f>RANK(I13, $I$2:$I1011, 0)</f>
        <v>12</v>
      </c>
      <c r="O13">
        <f>RANK(H13, $H$2:$H1011, 0)</f>
        <v>7</v>
      </c>
    </row>
    <row r="14" spans="1:15" x14ac:dyDescent="0.2">
      <c r="A14" s="5" t="s">
        <v>14</v>
      </c>
      <c r="B14" s="6">
        <v>2</v>
      </c>
      <c r="C14" s="6">
        <v>3</v>
      </c>
      <c r="D14" s="6">
        <v>5</v>
      </c>
      <c r="E14" s="7">
        <v>0.4</v>
      </c>
      <c r="F14" s="11">
        <v>-1.5362318840579736E-2</v>
      </c>
      <c r="G14" s="11">
        <v>0.38463768115942026</v>
      </c>
      <c r="H14" s="11">
        <v>-2.3652173913043507E-2</v>
      </c>
      <c r="I14" s="11">
        <v>0.36098550724637674</v>
      </c>
      <c r="J14">
        <f>RANK(E14, $E$2:$E1011, 0)</f>
        <v>10</v>
      </c>
      <c r="K14">
        <f>RANK(G14, $G$2:$G1012, 0)</f>
        <v>14</v>
      </c>
      <c r="L14">
        <f>RANK(I14, $I$2:$I1012, 0)</f>
        <v>15</v>
      </c>
      <c r="O14">
        <f>RANK(H14, $H$2:$H1012, 0)</f>
        <v>11</v>
      </c>
    </row>
    <row r="15" spans="1:15" x14ac:dyDescent="0.2">
      <c r="A15" s="5" t="s">
        <v>22</v>
      </c>
      <c r="B15" s="6">
        <v>1</v>
      </c>
      <c r="C15" s="6">
        <v>4</v>
      </c>
      <c r="D15" s="6">
        <v>5</v>
      </c>
      <c r="E15" s="7">
        <v>0.2</v>
      </c>
      <c r="F15" s="11">
        <v>0.24202898550724633</v>
      </c>
      <c r="G15" s="11">
        <v>0.44202898550724634</v>
      </c>
      <c r="H15" s="11">
        <v>8.1449275362318801E-2</v>
      </c>
      <c r="I15" s="11">
        <v>0.52347826086956517</v>
      </c>
      <c r="J15">
        <f>RANK(E15, $E$2:$E1012, 0)</f>
        <v>14</v>
      </c>
      <c r="K15">
        <f>RANK(G15, $G$2:$G1013, 0)</f>
        <v>11</v>
      </c>
      <c r="L15">
        <f>RANK(I15, $I$2:$I1013, 0)</f>
        <v>8</v>
      </c>
      <c r="O15">
        <f>RANK(H15, $H$2:$H1013, 0)</f>
        <v>3</v>
      </c>
    </row>
    <row r="16" spans="1:15" x14ac:dyDescent="0.2">
      <c r="A16" s="5" t="s">
        <v>26</v>
      </c>
      <c r="B16" s="6">
        <v>1</v>
      </c>
      <c r="C16" s="6">
        <v>4</v>
      </c>
      <c r="D16" s="6">
        <v>5</v>
      </c>
      <c r="E16" s="7">
        <v>0.2</v>
      </c>
      <c r="F16" s="11">
        <v>0.12463768115942031</v>
      </c>
      <c r="G16" s="11">
        <v>0.32463768115942032</v>
      </c>
      <c r="H16" s="11">
        <v>9.5014492753623156E-2</v>
      </c>
      <c r="I16" s="11">
        <v>0.41965217391304349</v>
      </c>
      <c r="J16">
        <f>RANK(E16, $E$2:$E1013, 0)</f>
        <v>14</v>
      </c>
      <c r="K16">
        <f>RANK(G16, $G$2:$G1014, 0)</f>
        <v>15</v>
      </c>
      <c r="L16">
        <f>RANK(I16, $I$2:$I1014, 0)</f>
        <v>13</v>
      </c>
      <c r="O16">
        <f>RANK(H16, $H$2:$H1014, 0)</f>
        <v>2</v>
      </c>
    </row>
    <row r="17" spans="1:15" x14ac:dyDescent="0.2">
      <c r="A17" s="5" t="s">
        <v>15</v>
      </c>
      <c r="B17" s="6">
        <v>1</v>
      </c>
      <c r="C17" s="6">
        <v>5</v>
      </c>
      <c r="D17" s="6">
        <v>6</v>
      </c>
      <c r="E17" s="7">
        <v>0.16666666666666666</v>
      </c>
      <c r="F17" s="11">
        <v>9.9999999999999978E-2</v>
      </c>
      <c r="G17" s="11">
        <v>0.26666666666666661</v>
      </c>
      <c r="H17" s="11">
        <v>5.1980676328502416E-2</v>
      </c>
      <c r="I17" s="11">
        <v>0.318647342995169</v>
      </c>
      <c r="J17">
        <f>RANK(E17, $E$2:$E1014, 0)</f>
        <v>16</v>
      </c>
      <c r="K17">
        <f>RANK(G17, $G$2:$G1015, 0)</f>
        <v>17</v>
      </c>
      <c r="L17">
        <f>RANK(I17, $I$2:$I1015, 0)</f>
        <v>17</v>
      </c>
      <c r="O17">
        <f>RANK(H17, $H$2:$H1015, 0)</f>
        <v>6</v>
      </c>
    </row>
    <row r="18" spans="1:15" x14ac:dyDescent="0.2">
      <c r="A18" s="5" t="s">
        <v>21</v>
      </c>
      <c r="B18" s="6"/>
      <c r="C18" s="6">
        <v>5</v>
      </c>
      <c r="D18" s="6">
        <v>5</v>
      </c>
      <c r="E18" s="7">
        <v>0</v>
      </c>
      <c r="F18" s="11">
        <v>0.268695652173913</v>
      </c>
      <c r="G18" s="11">
        <v>0.268695652173913</v>
      </c>
      <c r="H18" s="11">
        <v>0.11576811594202896</v>
      </c>
      <c r="I18" s="11">
        <v>0.38446376811594196</v>
      </c>
      <c r="J18">
        <f>RANK(E18, $E$2:$E1015, 0)</f>
        <v>17</v>
      </c>
      <c r="K18">
        <f>RANK(G18, $G$2:$G1016, 0)</f>
        <v>16</v>
      </c>
      <c r="L18">
        <f>RANK(I18, $I$2:$I1016, 0)</f>
        <v>14</v>
      </c>
      <c r="O18">
        <f>RANK(H18, $H$2:$H1016, 0)</f>
        <v>1</v>
      </c>
    </row>
    <row r="19" spans="1:15" x14ac:dyDescent="0.2">
      <c r="A19" s="5" t="s">
        <v>19</v>
      </c>
      <c r="B19" s="6"/>
      <c r="C19" s="6">
        <v>5</v>
      </c>
      <c r="D19" s="6">
        <v>5</v>
      </c>
      <c r="E19" s="7">
        <v>0</v>
      </c>
      <c r="F19" s="11">
        <v>0.16202898550724637</v>
      </c>
      <c r="G19" s="11">
        <v>0.16202898550724637</v>
      </c>
      <c r="H19" s="11">
        <v>6.2260869565217355E-2</v>
      </c>
      <c r="I19" s="11">
        <v>0.22428985507246374</v>
      </c>
      <c r="J19">
        <f>RANK(E19, $E$2:$E1016, 0)</f>
        <v>17</v>
      </c>
      <c r="K19">
        <f>RANK(G19, $G$2:$G1017, 0)</f>
        <v>18</v>
      </c>
      <c r="L19">
        <f>RANK(I19, $I$2:$I1017, 0)</f>
        <v>18</v>
      </c>
      <c r="O19">
        <f>RANK(H19, $H$2:$H1017, 0)</f>
        <v>5</v>
      </c>
    </row>
    <row r="20" spans="1:15" x14ac:dyDescent="0.2">
      <c r="F20" s="2"/>
      <c r="G20" s="2"/>
    </row>
    <row r="21" spans="1:15" x14ac:dyDescent="0.2">
      <c r="F21" s="2"/>
      <c r="G21" s="2"/>
    </row>
    <row r="22" spans="1:15" x14ac:dyDescent="0.2">
      <c r="F22" s="2"/>
      <c r="G22" s="2"/>
    </row>
    <row r="23" spans="1:15" x14ac:dyDescent="0.2">
      <c r="F23" s="2"/>
      <c r="G23" s="2"/>
    </row>
  </sheetData>
  <sortState xmlns:xlrd2="http://schemas.microsoft.com/office/spreadsheetml/2017/richdata2" ref="A2:L19">
    <sortCondition descending="1" ref="E2:E1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0ECC-808E-6447-8014-5DE2FBB72DE6}">
  <sheetPr codeName="Sheet3"/>
  <dimension ref="A1:F23"/>
  <sheetViews>
    <sheetView workbookViewId="0">
      <selection activeCell="E2" sqref="E2"/>
    </sheetView>
  </sheetViews>
  <sheetFormatPr baseColWidth="10" defaultRowHeight="16" x14ac:dyDescent="0.2"/>
  <cols>
    <col min="5" max="5" width="13.83203125" customWidth="1"/>
  </cols>
  <sheetData>
    <row r="1" spans="1:6" x14ac:dyDescent="0.2">
      <c r="A1" s="8"/>
      <c r="B1" s="8" t="s">
        <v>1</v>
      </c>
      <c r="C1" s="8" t="s">
        <v>2</v>
      </c>
      <c r="D1" s="8" t="s">
        <v>3</v>
      </c>
      <c r="E1" s="8" t="s">
        <v>4</v>
      </c>
      <c r="F1" s="17" t="s">
        <v>40</v>
      </c>
    </row>
    <row r="2" spans="1:6" x14ac:dyDescent="0.2">
      <c r="A2" s="9" t="s">
        <v>7</v>
      </c>
      <c r="B2" s="5">
        <v>25</v>
      </c>
      <c r="C2" s="5">
        <v>21</v>
      </c>
      <c r="D2" s="5">
        <v>46</v>
      </c>
      <c r="E2" s="10">
        <v>0.54347826086956519</v>
      </c>
      <c r="F2" s="18">
        <f>E2-(AVERAGE(E2:E3))</f>
        <v>4.3478260869565188E-2</v>
      </c>
    </row>
    <row r="3" spans="1:6" x14ac:dyDescent="0.2">
      <c r="A3" s="9" t="s">
        <v>6</v>
      </c>
      <c r="B3" s="5">
        <v>21</v>
      </c>
      <c r="C3" s="5">
        <v>25</v>
      </c>
      <c r="D3" s="5">
        <v>46</v>
      </c>
      <c r="E3" s="10">
        <v>0.45652173913043476</v>
      </c>
      <c r="F3" s="18">
        <f>E3 - AVERAGE(E2, E3)</f>
        <v>-4.3478260869565244E-2</v>
      </c>
    </row>
    <row r="4" spans="1:6" x14ac:dyDescent="0.2">
      <c r="A4" s="9"/>
      <c r="B4" s="5"/>
      <c r="C4" s="5"/>
      <c r="D4" s="5"/>
      <c r="E4" s="8"/>
    </row>
    <row r="5" spans="1:6" x14ac:dyDescent="0.2">
      <c r="A5" s="9"/>
      <c r="B5" s="5"/>
      <c r="C5" s="5"/>
      <c r="D5" s="5"/>
      <c r="E5" s="8"/>
    </row>
    <row r="6" spans="1:6" x14ac:dyDescent="0.2">
      <c r="A6" s="9"/>
      <c r="B6" s="5"/>
      <c r="C6" s="5"/>
      <c r="D6" s="5"/>
      <c r="E6" s="8"/>
    </row>
    <row r="7" spans="1:6" x14ac:dyDescent="0.2">
      <c r="A7" s="9"/>
      <c r="B7" s="5"/>
      <c r="C7" s="5"/>
      <c r="D7" s="5"/>
      <c r="E7" s="8"/>
    </row>
    <row r="8" spans="1:6" x14ac:dyDescent="0.2">
      <c r="A8" s="9"/>
      <c r="B8" s="5"/>
      <c r="C8" s="5"/>
      <c r="D8" s="5"/>
      <c r="E8" s="8"/>
    </row>
    <row r="9" spans="1:6" x14ac:dyDescent="0.2">
      <c r="A9" s="9"/>
      <c r="B9" s="5"/>
      <c r="C9" s="5"/>
      <c r="D9" s="5"/>
      <c r="E9" s="8"/>
    </row>
    <row r="10" spans="1:6" x14ac:dyDescent="0.2">
      <c r="A10" s="9"/>
      <c r="B10" s="5"/>
      <c r="C10" s="5"/>
      <c r="D10" s="5"/>
      <c r="E10" s="8"/>
    </row>
    <row r="11" spans="1:6" x14ac:dyDescent="0.2">
      <c r="A11" s="9"/>
      <c r="B11" s="5"/>
      <c r="C11" s="5"/>
      <c r="D11" s="5"/>
      <c r="E11" s="8"/>
    </row>
    <row r="12" spans="1:6" x14ac:dyDescent="0.2">
      <c r="A12" s="9"/>
      <c r="B12" s="5"/>
      <c r="C12" s="5"/>
      <c r="D12" s="5"/>
      <c r="E12" s="8"/>
    </row>
    <row r="13" spans="1:6" x14ac:dyDescent="0.2">
      <c r="A13" s="9"/>
      <c r="B13" s="5"/>
      <c r="C13" s="5"/>
      <c r="D13" s="5"/>
      <c r="E13" s="8"/>
    </row>
    <row r="14" spans="1:6" x14ac:dyDescent="0.2">
      <c r="A14" s="9"/>
      <c r="B14" s="5"/>
      <c r="C14" s="5"/>
      <c r="D14" s="5"/>
      <c r="E14" s="8"/>
    </row>
    <row r="15" spans="1:6" x14ac:dyDescent="0.2">
      <c r="A15" s="9"/>
      <c r="B15" s="5"/>
      <c r="C15" s="5"/>
      <c r="D15" s="5"/>
      <c r="E15" s="8"/>
    </row>
    <row r="16" spans="1:6" x14ac:dyDescent="0.2">
      <c r="A16" s="9"/>
      <c r="B16" s="5"/>
      <c r="C16" s="5"/>
      <c r="D16" s="5"/>
      <c r="E16" s="8"/>
    </row>
    <row r="17" spans="1:5" x14ac:dyDescent="0.2">
      <c r="A17" s="9"/>
      <c r="B17" s="5"/>
      <c r="C17" s="5"/>
      <c r="D17" s="5"/>
      <c r="E17" s="8"/>
    </row>
    <row r="18" spans="1:5" x14ac:dyDescent="0.2">
      <c r="A18" s="9"/>
      <c r="B18" s="5"/>
      <c r="C18" s="5"/>
      <c r="D18" s="5"/>
      <c r="E18" s="8"/>
    </row>
    <row r="19" spans="1:5" x14ac:dyDescent="0.2">
      <c r="A19" s="9"/>
      <c r="B19" s="5"/>
      <c r="C19" s="5"/>
      <c r="D19" s="5"/>
      <c r="E19" s="8"/>
    </row>
    <row r="20" spans="1:5" x14ac:dyDescent="0.2">
      <c r="A20" s="9"/>
      <c r="B20" s="5"/>
      <c r="C20" s="5"/>
      <c r="D20" s="5"/>
      <c r="E20" s="8"/>
    </row>
    <row r="21" spans="1:5" x14ac:dyDescent="0.2">
      <c r="A21" s="9"/>
      <c r="B21" s="5"/>
      <c r="C21" s="5"/>
      <c r="D21" s="5"/>
      <c r="E21" s="8"/>
    </row>
    <row r="22" spans="1:5" x14ac:dyDescent="0.2">
      <c r="A22" s="9"/>
      <c r="B22" s="5"/>
      <c r="C22" s="5"/>
      <c r="D22" s="5"/>
      <c r="E22" s="8"/>
    </row>
    <row r="23" spans="1:5" x14ac:dyDescent="0.2">
      <c r="A23" s="9"/>
      <c r="B23" s="5"/>
      <c r="C23" s="5"/>
      <c r="D23" s="5"/>
      <c r="E23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D53E-C099-9742-A91E-A424E7BCAB2D}">
  <sheetPr codeName="Sheet4"/>
  <dimension ref="A1:I10"/>
  <sheetViews>
    <sheetView workbookViewId="0">
      <selection activeCell="B9" sqref="B9:G9"/>
    </sheetView>
  </sheetViews>
  <sheetFormatPr baseColWidth="10" defaultRowHeight="16" x14ac:dyDescent="0.2"/>
  <cols>
    <col min="2" max="2" width="16.1640625" customWidth="1"/>
    <col min="6" max="6" width="22.1640625" customWidth="1"/>
    <col min="7" max="7" width="14.83203125" customWidth="1"/>
  </cols>
  <sheetData>
    <row r="1" spans="1:9" x14ac:dyDescent="0.2">
      <c r="C1" s="1" t="s">
        <v>37</v>
      </c>
      <c r="D1" s="1"/>
      <c r="E1" s="1"/>
      <c r="F1" s="1" t="s">
        <v>39</v>
      </c>
      <c r="G1" s="1" t="s">
        <v>41</v>
      </c>
      <c r="I1" s="1" t="s">
        <v>42</v>
      </c>
    </row>
    <row r="2" spans="1:9" x14ac:dyDescent="0.2">
      <c r="A2" s="1" t="s">
        <v>7</v>
      </c>
      <c r="B2" t="s">
        <v>26</v>
      </c>
      <c r="C2" s="19">
        <f>VLOOKUP(B2, 'Team Averages'!A2:I19, 7, FALSE)</f>
        <v>0.32463768115942032</v>
      </c>
      <c r="D2" s="20">
        <f>C2-B5</f>
        <v>-0.17536231884057968</v>
      </c>
      <c r="E2" s="20">
        <f>D2-D3</f>
        <v>-0.20666666666666661</v>
      </c>
      <c r="F2" s="20">
        <f>E2+B5</f>
        <v>0.29333333333333339</v>
      </c>
      <c r="G2" s="20">
        <f>F2+0.053</f>
        <v>0.34633333333333338</v>
      </c>
      <c r="I2" s="21">
        <f xml:space="preserve"> 1/G2</f>
        <v>2.8873917228103942</v>
      </c>
    </row>
    <row r="3" spans="1:9" x14ac:dyDescent="0.2">
      <c r="A3" s="1" t="s">
        <v>6</v>
      </c>
      <c r="B3" s="5" t="s">
        <v>28</v>
      </c>
      <c r="C3" s="19">
        <f>VLOOKUP(B3, 'Team Averages'!A2:I19, 7, FALSE)</f>
        <v>0.53130434782608693</v>
      </c>
      <c r="D3" s="20">
        <f>C3-B5</f>
        <v>3.1304347826086931E-2</v>
      </c>
      <c r="E3" s="20">
        <f>D3-D2</f>
        <v>0.20666666666666661</v>
      </c>
      <c r="F3" s="20">
        <f>E3+B5</f>
        <v>0.70666666666666655</v>
      </c>
      <c r="G3" s="19">
        <f>F3 - 0.053</f>
        <v>0.65366666666666651</v>
      </c>
      <c r="I3" s="21">
        <f xml:space="preserve"> 1/G3</f>
        <v>1.5298317185109642</v>
      </c>
    </row>
    <row r="5" spans="1:9" x14ac:dyDescent="0.2">
      <c r="A5" t="s">
        <v>38</v>
      </c>
      <c r="B5" s="2">
        <v>0.5</v>
      </c>
    </row>
    <row r="7" spans="1:9" x14ac:dyDescent="0.2">
      <c r="G7">
        <v>5.2999999999999999E-2</v>
      </c>
    </row>
    <row r="10" spans="1:9" x14ac:dyDescent="0.2">
      <c r="A10" t="s">
        <v>44</v>
      </c>
      <c r="B10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F35F7-E3BE-FA42-85B9-8561C28A457E}">
  <dimension ref="A1:D3"/>
  <sheetViews>
    <sheetView workbookViewId="0">
      <selection activeCell="F9" sqref="F9"/>
    </sheetView>
  </sheetViews>
  <sheetFormatPr baseColWidth="10" defaultRowHeight="16" x14ac:dyDescent="0.2"/>
  <sheetData>
    <row r="1" spans="1:4" x14ac:dyDescent="0.2">
      <c r="B1" t="s">
        <v>1</v>
      </c>
      <c r="C1" t="s">
        <v>2</v>
      </c>
      <c r="D1" t="s">
        <v>43</v>
      </c>
    </row>
    <row r="2" spans="1:4" x14ac:dyDescent="0.2">
      <c r="A2" t="s">
        <v>7</v>
      </c>
      <c r="B2">
        <v>3</v>
      </c>
      <c r="C2">
        <v>10</v>
      </c>
      <c r="D2" s="2">
        <f>B2/(B2+C2)</f>
        <v>0.23076923076923078</v>
      </c>
    </row>
    <row r="3" spans="1:4" x14ac:dyDescent="0.2">
      <c r="A3" t="s">
        <v>6</v>
      </c>
      <c r="B3">
        <v>1</v>
      </c>
      <c r="C3">
        <v>14</v>
      </c>
      <c r="D3" s="2">
        <f xml:space="preserve"> B3/(B3+C3)</f>
        <v>6.6666666666666666E-2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Schedule</vt:lpstr>
      <vt:lpstr>Team Averages</vt:lpstr>
      <vt:lpstr>League Averages </vt:lpstr>
      <vt:lpstr>Simulation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Ian Wyatt (Student)</dc:creator>
  <cp:lastModifiedBy>Mitchell Ian Wyatt (Student)</cp:lastModifiedBy>
  <dcterms:created xsi:type="dcterms:W3CDTF">2024-04-14T06:21:03Z</dcterms:created>
  <dcterms:modified xsi:type="dcterms:W3CDTF">2024-04-15T04:57:22Z</dcterms:modified>
</cp:coreProperties>
</file>